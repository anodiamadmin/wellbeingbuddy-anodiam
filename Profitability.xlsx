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defaultThemeVersion="153222"/>
  <mc:AlternateContent xmlns:mc="http://schemas.openxmlformats.org/markup-compatibility/2006">
    <mc:Choice Requires="x15">
      <x15ac:absPath xmlns:x15ac="http://schemas.microsoft.com/office/spreadsheetml/2010/11/ac" url="D:\wellbeingbuddy\"/>
    </mc:Choice>
  </mc:AlternateContent>
  <bookViews>
    <workbookView xWindow="0" yWindow="0" windowWidth="19200" windowHeight="7313" activeTab="3"/>
  </bookViews>
  <sheets>
    <sheet name="Beta_1K_Users" sheetId="4" r:id="rId1"/>
    <sheet name="FirstRelease_4K_Users" sheetId="6" r:id="rId2"/>
    <sheet name="GrowthPhase_40K_Users" sheetId="5" r:id="rId3"/>
    <sheet name="MaturePlatform_400K_Users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4" l="1"/>
  <c r="G13" i="4"/>
  <c r="G12" i="4"/>
  <c r="G11" i="4"/>
  <c r="G6" i="4"/>
  <c r="G5" i="4"/>
  <c r="G4" i="4"/>
  <c r="G9" i="6"/>
  <c r="G22" i="6"/>
  <c r="G16" i="6"/>
  <c r="G15" i="6"/>
  <c r="G14" i="6"/>
  <c r="G8" i="6"/>
  <c r="G7" i="6"/>
  <c r="G6" i="6"/>
  <c r="G5" i="6"/>
  <c r="G4" i="6"/>
  <c r="G23" i="2"/>
  <c r="G17" i="2"/>
  <c r="G16" i="2"/>
  <c r="G15" i="2"/>
  <c r="G11" i="2"/>
  <c r="G10" i="2"/>
  <c r="G9" i="2"/>
  <c r="G8" i="2"/>
  <c r="G7" i="2"/>
  <c r="G6" i="2"/>
  <c r="G5" i="2"/>
  <c r="G4" i="2"/>
  <c r="G15" i="5"/>
  <c r="G10" i="5"/>
  <c r="G8" i="5"/>
  <c r="G16" i="5"/>
  <c r="G17" i="5"/>
  <c r="G23" i="5"/>
  <c r="G7" i="5"/>
  <c r="G9" i="5"/>
  <c r="G5" i="5"/>
  <c r="G11" i="5"/>
  <c r="G6" i="5"/>
  <c r="G4" i="5"/>
  <c r="G18" i="2" l="1"/>
  <c r="G14" i="4"/>
  <c r="G7" i="4"/>
  <c r="G8" i="4" s="1"/>
  <c r="G16" i="4" s="1"/>
  <c r="G21" i="4" s="1"/>
  <c r="G10" i="6"/>
  <c r="G11" i="6" s="1"/>
  <c r="G17" i="6"/>
  <c r="G12" i="2"/>
  <c r="G20" i="2" s="1"/>
  <c r="G25" i="2" s="1"/>
  <c r="G18" i="5"/>
  <c r="G12" i="5"/>
  <c r="G19" i="6" l="1"/>
  <c r="G24" i="6" s="1"/>
  <c r="G20" i="5"/>
  <c r="G25" i="5" s="1"/>
</calcChain>
</file>

<file path=xl/sharedStrings.xml><?xml version="1.0" encoding="utf-8"?>
<sst xmlns="http://schemas.openxmlformats.org/spreadsheetml/2006/main" count="183" uniqueCount="49">
  <si>
    <t>AI Developer</t>
  </si>
  <si>
    <t>Offshore</t>
  </si>
  <si>
    <t>Solution Architect</t>
  </si>
  <si>
    <t>AI Tokens</t>
  </si>
  <si>
    <t>Cloud Infrastructure</t>
  </si>
  <si>
    <t>Resource</t>
  </si>
  <si>
    <t>Location</t>
  </si>
  <si>
    <t>Topic</t>
  </si>
  <si>
    <t>Online Service</t>
  </si>
  <si>
    <t>Expense Head</t>
  </si>
  <si>
    <t>Allocation</t>
  </si>
  <si>
    <t>Monthly Developer Expenditure (AU$)</t>
  </si>
  <si>
    <t>Monthly Infrastructure Expenditure (AU$)</t>
  </si>
  <si>
    <t>Monthly Estimated Total Expenditure (AU$)</t>
  </si>
  <si>
    <t>LLM + Speech + Vision + Embeddings + Agent etc.</t>
  </si>
  <si>
    <t>Compute + DB + Security + Deployment etc.</t>
  </si>
  <si>
    <t>Digital Marketing</t>
  </si>
  <si>
    <t>Platform Expenditure</t>
  </si>
  <si>
    <t>Agentic AI, Full Stack, Cloud-dev-sec-ops, QA, PM</t>
  </si>
  <si>
    <t>Min Au$/ user month</t>
  </si>
  <si>
    <t>Max Au$/ user month</t>
  </si>
  <si>
    <t>Hourly Au$/ hour</t>
  </si>
  <si>
    <t>Total Au$/ month</t>
  </si>
  <si>
    <t>Au$ / month</t>
  </si>
  <si>
    <t>Target Users</t>
  </si>
  <si>
    <t>Senior Tech Lead</t>
  </si>
  <si>
    <t>Mid Level Digital Marketer</t>
  </si>
  <si>
    <t>Price/ user month (Au$)</t>
  </si>
  <si>
    <t>Target Sales (Au$)</t>
  </si>
  <si>
    <t>Profit/ month (Au$)</t>
  </si>
  <si>
    <t>Resource Competency</t>
  </si>
  <si>
    <t>Onsite</t>
  </si>
  <si>
    <t>Mid Level Full Stack</t>
  </si>
  <si>
    <t>Mid Level AI Dev</t>
  </si>
  <si>
    <t>Production Support</t>
  </si>
  <si>
    <t>Mid Level QA</t>
  </si>
  <si>
    <t>Mid Level Tech Support</t>
  </si>
  <si>
    <t>Senior Sales &amp; Marketing</t>
  </si>
  <si>
    <t>Full Stack, Dev-Sec-Ops</t>
  </si>
  <si>
    <t>Automation Tester</t>
  </si>
  <si>
    <t>Monthly Expenditure (AU$)</t>
  </si>
  <si>
    <t>Monthly Total Expenditure (AU$)</t>
  </si>
  <si>
    <r>
      <rPr>
        <b/>
        <sz val="11"/>
        <color theme="5" tint="-0.249977111117893"/>
        <rFont val="Calibri"/>
        <family val="2"/>
        <scheme val="minor"/>
      </rPr>
      <t xml:space="preserve">Anodiam's </t>
    </r>
    <r>
      <rPr>
        <b/>
        <sz val="11"/>
        <color rgb="FFFF0000"/>
        <rFont val="Calibri"/>
        <family val="2"/>
        <scheme val="minor"/>
      </rPr>
      <t>70% Discounted Billing (Au$)</t>
    </r>
  </si>
  <si>
    <r>
      <rPr>
        <b/>
        <sz val="11"/>
        <color theme="5" tint="-0.249977111117893"/>
        <rFont val="Calibri"/>
        <family val="2"/>
        <scheme val="minor"/>
      </rPr>
      <t xml:space="preserve">Anodiam's </t>
    </r>
    <r>
      <rPr>
        <b/>
        <sz val="11"/>
        <color rgb="FFFF0000"/>
        <rFont val="Calibri"/>
        <family val="2"/>
        <scheme val="minor"/>
      </rPr>
      <t>80% Discounted Billing (Au$)</t>
    </r>
  </si>
  <si>
    <t>AI, Full Stack, Dev-Sec-Ops</t>
  </si>
  <si>
    <t>1 Year Plan: .1% Market Penetration in Australia (~4.16million students)</t>
  </si>
  <si>
    <t>6 Months Plan: 1,000 Beta Users Post MVP</t>
  </si>
  <si>
    <t>3 Years Plan: 1% Market Penetration</t>
  </si>
  <si>
    <t>5 Years Plan: 10% Market Penetration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</si>
</sst>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2" fillId="5" borderId="1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right" vertical="top" wrapText="1"/>
    </xf>
    <xf numFmtId="0" fontId="0" fillId="6" borderId="12" xfId="0" applyFill="1" applyBorder="1" applyAlignment="1">
      <alignment horizontal="right" vertical="top" wrapText="1"/>
    </xf>
    <xf numFmtId="0" fontId="1" fillId="4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2" fillId="0" borderId="20" xfId="0" applyFont="1" applyBorder="1" applyAlignment="1">
      <alignment horizontal="left" vertical="top" wrapText="1"/>
    </xf>
    <xf numFmtId="3" fontId="1" fillId="7" borderId="14" xfId="0" applyNumberFormat="1" applyFont="1" applyFill="1" applyBorder="1" applyAlignment="1">
      <alignment horizontal="right" vertical="top" wrapText="1"/>
    </xf>
    <xf numFmtId="3" fontId="1" fillId="2" borderId="14" xfId="0" applyNumberFormat="1" applyFont="1" applyFill="1" applyBorder="1" applyAlignment="1">
      <alignment horizontal="right" vertical="top" wrapText="1"/>
    </xf>
    <xf numFmtId="3" fontId="3" fillId="3" borderId="14" xfId="0" applyNumberFormat="1" applyFont="1" applyFill="1" applyBorder="1" applyAlignment="1">
      <alignment horizontal="right" vertical="top" wrapText="1"/>
    </xf>
    <xf numFmtId="3" fontId="0" fillId="0" borderId="6" xfId="0" applyNumberFormat="1" applyBorder="1" applyAlignment="1">
      <alignment horizontal="right" vertical="top" wrapText="1"/>
    </xf>
    <xf numFmtId="3" fontId="0" fillId="0" borderId="8" xfId="0" applyNumberFormat="1" applyBorder="1" applyAlignment="1">
      <alignment horizontal="right" vertical="top" wrapText="1"/>
    </xf>
    <xf numFmtId="3" fontId="0" fillId="0" borderId="11" xfId="0" applyNumberFormat="1" applyBorder="1" applyAlignment="1">
      <alignment horizontal="right" vertical="top" wrapText="1"/>
    </xf>
    <xf numFmtId="3" fontId="4" fillId="4" borderId="14" xfId="0" applyNumberFormat="1" applyFont="1" applyFill="1" applyBorder="1" applyAlignment="1">
      <alignment horizontal="right" vertical="top" wrapText="1"/>
    </xf>
    <xf numFmtId="0" fontId="0" fillId="0" borderId="23" xfId="0" applyBorder="1" applyAlignment="1">
      <alignment horizontal="right" vertical="top" wrapText="1"/>
    </xf>
    <xf numFmtId="0" fontId="2" fillId="5" borderId="16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right" vertical="top" wrapText="1"/>
    </xf>
    <xf numFmtId="0" fontId="0" fillId="0" borderId="26" xfId="0" applyBorder="1" applyAlignment="1">
      <alignment horizontal="right" vertical="top" wrapText="1"/>
    </xf>
    <xf numFmtId="3" fontId="6" fillId="9" borderId="24" xfId="0" applyNumberFormat="1" applyFont="1" applyFill="1" applyBorder="1" applyAlignment="1">
      <alignment horizontal="right" vertical="top" wrapText="1"/>
    </xf>
    <xf numFmtId="3" fontId="6" fillId="9" borderId="27" xfId="0" applyNumberFormat="1" applyFont="1" applyFill="1" applyBorder="1" applyAlignment="1">
      <alignment horizontal="right" vertical="top" wrapText="1"/>
    </xf>
    <xf numFmtId="3" fontId="6" fillId="9" borderId="25" xfId="0" applyNumberFormat="1" applyFont="1" applyFill="1" applyBorder="1" applyAlignment="1">
      <alignment horizontal="right" vertical="top" wrapText="1"/>
    </xf>
    <xf numFmtId="0" fontId="0" fillId="0" borderId="28" xfId="0" applyBorder="1" applyAlignment="1">
      <alignment horizontal="right" vertical="top" wrapText="1"/>
    </xf>
    <xf numFmtId="3" fontId="3" fillId="3" borderId="22" xfId="0" applyNumberFormat="1" applyFont="1" applyFill="1" applyBorder="1" applyAlignment="1">
      <alignment vertical="top" wrapText="1"/>
    </xf>
    <xf numFmtId="3" fontId="0" fillId="10" borderId="21" xfId="0" applyNumberFormat="1" applyFill="1" applyBorder="1" applyAlignment="1">
      <alignment horizontal="right" vertical="top" wrapText="1"/>
    </xf>
    <xf numFmtId="3" fontId="0" fillId="10" borderId="25" xfId="0" applyNumberFormat="1" applyFill="1" applyBorder="1" applyAlignment="1">
      <alignment horizontal="right" vertical="top" wrapText="1"/>
    </xf>
    <xf numFmtId="0" fontId="0" fillId="0" borderId="3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3" fillId="7" borderId="13" xfId="0" applyFont="1" applyFill="1" applyBorder="1" applyAlignment="1">
      <alignment horizontal="center" vertical="top" wrapText="1"/>
    </xf>
    <xf numFmtId="3" fontId="3" fillId="6" borderId="13" xfId="0" applyNumberFormat="1" applyFont="1" applyFill="1" applyBorder="1" applyAlignment="1">
      <alignment horizontal="right" vertical="top" wrapText="1"/>
    </xf>
    <xf numFmtId="3" fontId="2" fillId="3" borderId="22" xfId="0" applyNumberFormat="1" applyFont="1" applyFill="1" applyBorder="1" applyAlignment="1">
      <alignment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8" borderId="30" xfId="0" applyFont="1" applyFill="1" applyBorder="1" applyAlignment="1">
      <alignment horizontal="center" vertical="top" wrapText="1"/>
    </xf>
    <xf numFmtId="0" fontId="1" fillId="8" borderId="31" xfId="0" applyFont="1" applyFill="1" applyBorder="1" applyAlignment="1">
      <alignment horizontal="center" vertical="top" wrapText="1"/>
    </xf>
    <xf numFmtId="0" fontId="1" fillId="8" borderId="32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1" fillId="9" borderId="17" xfId="0" applyFont="1" applyFill="1" applyBorder="1" applyAlignment="1">
      <alignment horizontal="center" vertical="top" wrapText="1"/>
    </xf>
    <xf numFmtId="0" fontId="1" fillId="9" borderId="29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46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0.5</v>
      </c>
      <c r="F4" s="35">
        <v>72.5</v>
      </c>
      <c r="G4" s="37">
        <f>F4*E4*8*20</f>
        <v>5800</v>
      </c>
    </row>
    <row r="5" spans="2:7" x14ac:dyDescent="0.45">
      <c r="B5" s="10" t="s">
        <v>1</v>
      </c>
      <c r="C5" s="4" t="s">
        <v>32</v>
      </c>
      <c r="D5" s="4" t="s">
        <v>44</v>
      </c>
      <c r="E5" s="5">
        <v>3</v>
      </c>
      <c r="F5" s="33">
        <v>40</v>
      </c>
      <c r="G5" s="38">
        <f>F5*E5*8*20</f>
        <v>19200</v>
      </c>
    </row>
    <row r="6" spans="2:7" ht="14.65" thickBot="1" x14ac:dyDescent="0.5">
      <c r="B6" s="11" t="s">
        <v>1</v>
      </c>
      <c r="C6" s="12" t="s">
        <v>26</v>
      </c>
      <c r="D6" s="12"/>
      <c r="E6" s="13">
        <v>0.5</v>
      </c>
      <c r="F6" s="40">
        <v>30</v>
      </c>
      <c r="G6" s="43">
        <f>F6*E6*8*20</f>
        <v>2400</v>
      </c>
    </row>
    <row r="7" spans="2:7" ht="14.65" customHeight="1" thickBot="1" x14ac:dyDescent="0.5">
      <c r="B7" s="44"/>
      <c r="C7" s="45"/>
      <c r="D7" s="45"/>
      <c r="E7" s="59" t="s">
        <v>40</v>
      </c>
      <c r="F7" s="60"/>
      <c r="G7" s="51">
        <f>SUM(G4:G6)</f>
        <v>27400</v>
      </c>
    </row>
    <row r="8" spans="2:7" ht="14.65" customHeight="1" thickBot="1" x14ac:dyDescent="0.5">
      <c r="B8" s="44"/>
      <c r="C8" s="45"/>
      <c r="D8" s="45"/>
      <c r="E8" s="61" t="s">
        <v>43</v>
      </c>
      <c r="F8" s="62"/>
      <c r="G8" s="41">
        <f>G7*0.2</f>
        <v>5480</v>
      </c>
    </row>
    <row r="9" spans="2:7" ht="2.75" customHeight="1" thickBot="1" x14ac:dyDescent="0.5">
      <c r="B9" s="44"/>
      <c r="C9" s="45"/>
      <c r="D9" s="45"/>
      <c r="E9" s="45"/>
      <c r="F9" s="45"/>
      <c r="G9" s="46"/>
    </row>
    <row r="10" spans="2:7" s="3" customFormat="1" ht="14.65" thickBot="1" x14ac:dyDescent="0.5">
      <c r="B10" s="14" t="s">
        <v>9</v>
      </c>
      <c r="C10" s="15" t="s">
        <v>5</v>
      </c>
      <c r="D10" s="15" t="s">
        <v>7</v>
      </c>
      <c r="E10" s="16" t="s">
        <v>19</v>
      </c>
      <c r="F10" s="16" t="s">
        <v>20</v>
      </c>
      <c r="G10" s="17" t="s">
        <v>23</v>
      </c>
    </row>
    <row r="11" spans="2:7" x14ac:dyDescent="0.45">
      <c r="B11" s="7" t="s">
        <v>8</v>
      </c>
      <c r="C11" s="8" t="s">
        <v>3</v>
      </c>
      <c r="D11" s="8" t="s">
        <v>14</v>
      </c>
      <c r="E11" s="9">
        <v>0.5</v>
      </c>
      <c r="F11" s="9">
        <v>3.5</v>
      </c>
      <c r="G11" s="29">
        <f>(E11+F11)/2*F19</f>
        <v>2000</v>
      </c>
    </row>
    <row r="12" spans="2:7" x14ac:dyDescent="0.45">
      <c r="B12" s="10" t="s">
        <v>8</v>
      </c>
      <c r="C12" s="4" t="s">
        <v>4</v>
      </c>
      <c r="D12" s="4" t="s">
        <v>15</v>
      </c>
      <c r="E12" s="5">
        <v>0.2</v>
      </c>
      <c r="F12" s="5">
        <v>0.8</v>
      </c>
      <c r="G12" s="30">
        <f>(E12+F12)/2*F19</f>
        <v>500</v>
      </c>
    </row>
    <row r="13" spans="2:7" ht="14.65" thickBot="1" x14ac:dyDescent="0.5">
      <c r="B13" s="11" t="s">
        <v>16</v>
      </c>
      <c r="C13" s="12" t="s">
        <v>17</v>
      </c>
      <c r="D13" s="12"/>
      <c r="E13" s="13"/>
      <c r="F13" s="13"/>
      <c r="G13" s="31">
        <f>2*F19</f>
        <v>2000</v>
      </c>
    </row>
    <row r="14" spans="2:7" ht="14.65" customHeight="1" thickBot="1" x14ac:dyDescent="0.5">
      <c r="B14" s="44"/>
      <c r="C14" s="45"/>
      <c r="D14" s="45"/>
      <c r="E14" s="52" t="s">
        <v>12</v>
      </c>
      <c r="F14" s="53"/>
      <c r="G14" s="28">
        <f>SUM(G11:G13)</f>
        <v>4500</v>
      </c>
    </row>
    <row r="15" spans="2:7" ht="2.75" customHeight="1" thickBot="1" x14ac:dyDescent="0.5">
      <c r="B15" s="44"/>
      <c r="C15" s="45"/>
      <c r="D15" s="45"/>
      <c r="E15" s="45"/>
      <c r="F15" s="45"/>
      <c r="G15" s="46"/>
    </row>
    <row r="16" spans="2:7" ht="14.65" customHeight="1" thickBot="1" x14ac:dyDescent="0.5">
      <c r="B16" s="44"/>
      <c r="C16" s="45"/>
      <c r="D16" s="45"/>
      <c r="E16" s="54" t="s">
        <v>41</v>
      </c>
      <c r="F16" s="55"/>
      <c r="G16" s="27">
        <f>G8+G14</f>
        <v>9980</v>
      </c>
    </row>
    <row r="17" spans="2:7" ht="6" customHeight="1" thickBot="1" x14ac:dyDescent="0.5">
      <c r="B17" s="44"/>
      <c r="C17" s="45"/>
      <c r="D17" s="45"/>
      <c r="E17" s="45"/>
      <c r="F17" s="45"/>
      <c r="G17" s="46"/>
    </row>
    <row r="18" spans="2:7" ht="16.149999999999999" customHeight="1" thickBot="1" x14ac:dyDescent="0.5">
      <c r="B18" s="44"/>
      <c r="C18" s="45"/>
      <c r="D18" s="45"/>
      <c r="E18" s="21" t="s">
        <v>27</v>
      </c>
      <c r="F18" s="49" t="s">
        <v>24</v>
      </c>
      <c r="G18" s="22" t="s">
        <v>28</v>
      </c>
    </row>
    <row r="19" spans="2:7" ht="14.65" thickBot="1" x14ac:dyDescent="0.5">
      <c r="B19" s="44"/>
      <c r="C19" s="45"/>
      <c r="D19" s="45"/>
      <c r="E19" s="19">
        <v>15</v>
      </c>
      <c r="F19" s="50">
        <v>1000</v>
      </c>
      <c r="G19" s="26">
        <f>E19*F19</f>
        <v>15000</v>
      </c>
    </row>
    <row r="20" spans="2:7" ht="6" customHeight="1" thickBot="1" x14ac:dyDescent="0.5">
      <c r="B20" s="44"/>
      <c r="C20" s="45"/>
      <c r="D20" s="45"/>
      <c r="E20" s="45"/>
      <c r="F20" s="45"/>
      <c r="G20" s="46"/>
    </row>
    <row r="21" spans="2:7" ht="21.4" thickBot="1" x14ac:dyDescent="0.5">
      <c r="B21" s="47"/>
      <c r="C21" s="48"/>
      <c r="D21" s="48"/>
      <c r="E21" s="48"/>
      <c r="F21" s="20" t="s">
        <v>29</v>
      </c>
      <c r="G21" s="32">
        <f>G19-G16</f>
        <v>5020</v>
      </c>
    </row>
    <row r="22" spans="2:7" x14ac:dyDescent="0.45">
      <c r="G22" s="2"/>
    </row>
  </sheetData>
  <mergeCells count="5">
    <mergeCell ref="E14:F14"/>
    <mergeCell ref="E16:F16"/>
    <mergeCell ref="B1:G1"/>
    <mergeCell ref="E7:F7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5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45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1</v>
      </c>
      <c r="F4" s="35">
        <v>72.5</v>
      </c>
      <c r="G4" s="37">
        <f t="shared" ref="G4:G9" si="0">F4*E4*8*20</f>
        <v>11600</v>
      </c>
    </row>
    <row r="5" spans="2:7" x14ac:dyDescent="0.45">
      <c r="B5" s="10" t="s">
        <v>1</v>
      </c>
      <c r="C5" s="4" t="s">
        <v>32</v>
      </c>
      <c r="D5" s="4" t="s">
        <v>38</v>
      </c>
      <c r="E5" s="5">
        <v>2</v>
      </c>
      <c r="F5" s="33">
        <v>40</v>
      </c>
      <c r="G5" s="38">
        <f t="shared" si="0"/>
        <v>12800</v>
      </c>
    </row>
    <row r="6" spans="2:7" x14ac:dyDescent="0.45">
      <c r="B6" s="10" t="s">
        <v>1</v>
      </c>
      <c r="C6" s="4" t="s">
        <v>33</v>
      </c>
      <c r="D6" s="23" t="s">
        <v>0</v>
      </c>
      <c r="E6" s="24">
        <v>2</v>
      </c>
      <c r="F6" s="36">
        <v>40</v>
      </c>
      <c r="G6" s="38">
        <f t="shared" si="0"/>
        <v>12800</v>
      </c>
    </row>
    <row r="7" spans="2:7" x14ac:dyDescent="0.45">
      <c r="B7" s="10" t="s">
        <v>1</v>
      </c>
      <c r="C7" s="23" t="s">
        <v>35</v>
      </c>
      <c r="D7" s="23" t="s">
        <v>39</v>
      </c>
      <c r="E7" s="24">
        <v>2</v>
      </c>
      <c r="F7" s="36">
        <v>30</v>
      </c>
      <c r="G7" s="38">
        <f t="shared" si="0"/>
        <v>9600</v>
      </c>
    </row>
    <row r="8" spans="2:7" ht="14.65" thickBot="1" x14ac:dyDescent="0.5">
      <c r="B8" s="10" t="s">
        <v>1</v>
      </c>
      <c r="C8" s="23" t="s">
        <v>36</v>
      </c>
      <c r="D8" s="23" t="s">
        <v>34</v>
      </c>
      <c r="E8" s="24">
        <v>2</v>
      </c>
      <c r="F8" s="36">
        <v>30</v>
      </c>
      <c r="G8" s="39">
        <f t="shared" si="0"/>
        <v>9600</v>
      </c>
    </row>
    <row r="9" spans="2:7" ht="14.65" thickBot="1" x14ac:dyDescent="0.5">
      <c r="B9" s="11" t="s">
        <v>1</v>
      </c>
      <c r="C9" s="12" t="s">
        <v>26</v>
      </c>
      <c r="D9" s="12"/>
      <c r="E9" s="13">
        <v>2</v>
      </c>
      <c r="F9" s="40">
        <v>30</v>
      </c>
      <c r="G9" s="43">
        <f t="shared" si="0"/>
        <v>9600</v>
      </c>
    </row>
    <row r="10" spans="2:7" ht="14.65" customHeight="1" thickBot="1" x14ac:dyDescent="0.5">
      <c r="B10" s="44"/>
      <c r="C10" s="45"/>
      <c r="D10" s="45"/>
      <c r="E10" s="59" t="s">
        <v>40</v>
      </c>
      <c r="F10" s="60"/>
      <c r="G10" s="51">
        <f>SUM(G4:G9)</f>
        <v>66000</v>
      </c>
    </row>
    <row r="11" spans="2:7" ht="14.65" customHeight="1" thickBot="1" x14ac:dyDescent="0.5">
      <c r="B11" s="44"/>
      <c r="C11" s="45"/>
      <c r="D11" s="45"/>
      <c r="E11" s="61" t="s">
        <v>42</v>
      </c>
      <c r="F11" s="62"/>
      <c r="G11" s="41">
        <f>G10*0.3</f>
        <v>19800</v>
      </c>
    </row>
    <row r="12" spans="2:7" ht="2.75" customHeight="1" thickBot="1" x14ac:dyDescent="0.5">
      <c r="B12" s="44"/>
      <c r="C12" s="45"/>
      <c r="D12" s="45"/>
      <c r="E12" s="45"/>
      <c r="F12" s="45"/>
      <c r="G12" s="46"/>
    </row>
    <row r="13" spans="2:7" s="3" customFormat="1" ht="14.65" thickBot="1" x14ac:dyDescent="0.5">
      <c r="B13" s="14" t="s">
        <v>9</v>
      </c>
      <c r="C13" s="15" t="s">
        <v>5</v>
      </c>
      <c r="D13" s="15" t="s">
        <v>7</v>
      </c>
      <c r="E13" s="16" t="s">
        <v>19</v>
      </c>
      <c r="F13" s="16" t="s">
        <v>20</v>
      </c>
      <c r="G13" s="17" t="s">
        <v>23</v>
      </c>
    </row>
    <row r="14" spans="2:7" x14ac:dyDescent="0.45">
      <c r="B14" s="7" t="s">
        <v>8</v>
      </c>
      <c r="C14" s="8" t="s">
        <v>3</v>
      </c>
      <c r="D14" s="8" t="s">
        <v>14</v>
      </c>
      <c r="E14" s="9">
        <v>0.5</v>
      </c>
      <c r="F14" s="9">
        <v>3.5</v>
      </c>
      <c r="G14" s="29">
        <f>(E14+F14)/2*F22</f>
        <v>8000</v>
      </c>
    </row>
    <row r="15" spans="2:7" x14ac:dyDescent="0.45">
      <c r="B15" s="10" t="s">
        <v>8</v>
      </c>
      <c r="C15" s="4" t="s">
        <v>4</v>
      </c>
      <c r="D15" s="4" t="s">
        <v>15</v>
      </c>
      <c r="E15" s="5">
        <v>0.2</v>
      </c>
      <c r="F15" s="5">
        <v>0.8</v>
      </c>
      <c r="G15" s="30">
        <f>(E15+F15)/2*F22</f>
        <v>2000</v>
      </c>
    </row>
    <row r="16" spans="2:7" ht="14.65" thickBot="1" x14ac:dyDescent="0.5">
      <c r="B16" s="11" t="s">
        <v>16</v>
      </c>
      <c r="C16" s="12" t="s">
        <v>17</v>
      </c>
      <c r="D16" s="12"/>
      <c r="E16" s="13"/>
      <c r="F16" s="13"/>
      <c r="G16" s="31">
        <f>2*F22</f>
        <v>8000</v>
      </c>
    </row>
    <row r="17" spans="2:7" ht="14.65" customHeight="1" thickBot="1" x14ac:dyDescent="0.5">
      <c r="B17" s="44"/>
      <c r="C17" s="45"/>
      <c r="D17" s="45"/>
      <c r="E17" s="52" t="s">
        <v>12</v>
      </c>
      <c r="F17" s="53"/>
      <c r="G17" s="28">
        <f>SUM(G14:G16)</f>
        <v>18000</v>
      </c>
    </row>
    <row r="18" spans="2:7" ht="2.75" customHeight="1" thickBot="1" x14ac:dyDescent="0.5">
      <c r="B18" s="44"/>
      <c r="C18" s="45"/>
      <c r="D18" s="45"/>
      <c r="E18" s="45"/>
      <c r="F18" s="45"/>
      <c r="G18" s="46"/>
    </row>
    <row r="19" spans="2:7" ht="14.65" customHeight="1" thickBot="1" x14ac:dyDescent="0.5">
      <c r="B19" s="44"/>
      <c r="C19" s="45"/>
      <c r="D19" s="45"/>
      <c r="E19" s="54" t="s">
        <v>41</v>
      </c>
      <c r="F19" s="55"/>
      <c r="G19" s="27">
        <f>G11+G17</f>
        <v>37800</v>
      </c>
    </row>
    <row r="20" spans="2:7" ht="6" customHeight="1" thickBot="1" x14ac:dyDescent="0.5">
      <c r="B20" s="44"/>
      <c r="C20" s="45"/>
      <c r="D20" s="45"/>
      <c r="E20" s="45"/>
      <c r="F20" s="45"/>
      <c r="G20" s="46"/>
    </row>
    <row r="21" spans="2:7" ht="16.149999999999999" customHeight="1" thickBot="1" x14ac:dyDescent="0.5">
      <c r="B21" s="44"/>
      <c r="C21" s="45"/>
      <c r="D21" s="45"/>
      <c r="E21" s="21" t="s">
        <v>27</v>
      </c>
      <c r="F21" s="49" t="s">
        <v>24</v>
      </c>
      <c r="G21" s="22" t="s">
        <v>28</v>
      </c>
    </row>
    <row r="22" spans="2:7" ht="14.65" thickBot="1" x14ac:dyDescent="0.5">
      <c r="B22" s="44"/>
      <c r="C22" s="45"/>
      <c r="D22" s="45"/>
      <c r="E22" s="19">
        <v>15</v>
      </c>
      <c r="F22" s="50">
        <v>4000</v>
      </c>
      <c r="G22" s="26">
        <f>E22*F22</f>
        <v>60000</v>
      </c>
    </row>
    <row r="23" spans="2:7" ht="6" customHeight="1" thickBot="1" x14ac:dyDescent="0.5">
      <c r="B23" s="44"/>
      <c r="C23" s="45"/>
      <c r="D23" s="45"/>
      <c r="E23" s="45"/>
      <c r="F23" s="45"/>
      <c r="G23" s="46"/>
    </row>
    <row r="24" spans="2:7" ht="21.4" thickBot="1" x14ac:dyDescent="0.5">
      <c r="B24" s="47"/>
      <c r="C24" s="48"/>
      <c r="D24" s="48"/>
      <c r="E24" s="48"/>
      <c r="F24" s="20" t="s">
        <v>29</v>
      </c>
      <c r="G24" s="32">
        <f>G22-G19</f>
        <v>22200</v>
      </c>
    </row>
    <row r="25" spans="2:7" x14ac:dyDescent="0.45">
      <c r="G25" s="2"/>
    </row>
  </sheetData>
  <mergeCells count="5">
    <mergeCell ref="B1:G1"/>
    <mergeCell ref="E10:F10"/>
    <mergeCell ref="E17:F17"/>
    <mergeCell ref="E19:F19"/>
    <mergeCell ref="E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47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2</v>
      </c>
      <c r="F4" s="35">
        <v>72.5</v>
      </c>
      <c r="G4" s="37">
        <f t="shared" ref="G4:G11" si="0">F4*E4*8*20</f>
        <v>23200</v>
      </c>
    </row>
    <row r="5" spans="2:7" x14ac:dyDescent="0.45">
      <c r="B5" s="25" t="s">
        <v>31</v>
      </c>
      <c r="C5" s="6" t="s">
        <v>2</v>
      </c>
      <c r="D5" s="4" t="s">
        <v>18</v>
      </c>
      <c r="E5" s="18">
        <v>2</v>
      </c>
      <c r="F5" s="35">
        <v>175</v>
      </c>
      <c r="G5" s="38">
        <f t="shared" si="0"/>
        <v>56000</v>
      </c>
    </row>
    <row r="6" spans="2:7" x14ac:dyDescent="0.45">
      <c r="B6" s="10" t="s">
        <v>1</v>
      </c>
      <c r="C6" s="4" t="s">
        <v>32</v>
      </c>
      <c r="D6" s="4" t="s">
        <v>38</v>
      </c>
      <c r="E6" s="5">
        <v>4</v>
      </c>
      <c r="F6" s="33">
        <v>40</v>
      </c>
      <c r="G6" s="38">
        <f t="shared" si="0"/>
        <v>25600</v>
      </c>
    </row>
    <row r="7" spans="2:7" x14ac:dyDescent="0.45">
      <c r="B7" s="10" t="s">
        <v>1</v>
      </c>
      <c r="C7" s="4" t="s">
        <v>33</v>
      </c>
      <c r="D7" s="23" t="s">
        <v>0</v>
      </c>
      <c r="E7" s="24">
        <v>4</v>
      </c>
      <c r="F7" s="36">
        <v>40</v>
      </c>
      <c r="G7" s="38">
        <f t="shared" si="0"/>
        <v>25600</v>
      </c>
    </row>
    <row r="8" spans="2:7" x14ac:dyDescent="0.45">
      <c r="B8" s="10" t="s">
        <v>1</v>
      </c>
      <c r="C8" s="23" t="s">
        <v>35</v>
      </c>
      <c r="D8" s="23" t="s">
        <v>39</v>
      </c>
      <c r="E8" s="24">
        <v>4</v>
      </c>
      <c r="F8" s="36">
        <v>30</v>
      </c>
      <c r="G8" s="38">
        <f t="shared" si="0"/>
        <v>19200</v>
      </c>
    </row>
    <row r="9" spans="2:7" ht="14.65" thickBot="1" x14ac:dyDescent="0.5">
      <c r="B9" s="10" t="s">
        <v>1</v>
      </c>
      <c r="C9" s="23" t="s">
        <v>36</v>
      </c>
      <c r="D9" s="23" t="s">
        <v>34</v>
      </c>
      <c r="E9" s="24">
        <v>4</v>
      </c>
      <c r="F9" s="36">
        <v>30</v>
      </c>
      <c r="G9" s="39">
        <f t="shared" si="0"/>
        <v>19200</v>
      </c>
    </row>
    <row r="10" spans="2:7" x14ac:dyDescent="0.45">
      <c r="B10" s="10" t="s">
        <v>1</v>
      </c>
      <c r="C10" s="23" t="s">
        <v>26</v>
      </c>
      <c r="D10" s="23"/>
      <c r="E10" s="24">
        <v>4</v>
      </c>
      <c r="F10" s="36">
        <v>30</v>
      </c>
      <c r="G10" s="42">
        <f t="shared" si="0"/>
        <v>19200</v>
      </c>
    </row>
    <row r="11" spans="2:7" ht="14.65" thickBot="1" x14ac:dyDescent="0.5">
      <c r="B11" s="11" t="s">
        <v>31</v>
      </c>
      <c r="C11" s="12" t="s">
        <v>37</v>
      </c>
      <c r="D11" s="12"/>
      <c r="E11" s="13">
        <v>2</v>
      </c>
      <c r="F11" s="40">
        <v>100</v>
      </c>
      <c r="G11" s="43">
        <f t="shared" si="0"/>
        <v>32000</v>
      </c>
    </row>
    <row r="12" spans="2:7" ht="14.65" customHeight="1" thickBot="1" x14ac:dyDescent="0.5">
      <c r="B12" s="44"/>
      <c r="C12" s="45"/>
      <c r="D12" s="45"/>
      <c r="E12" s="52" t="s">
        <v>11</v>
      </c>
      <c r="F12" s="63"/>
      <c r="G12" s="41">
        <f>SUM(G4:G11)</f>
        <v>220000</v>
      </c>
    </row>
    <row r="13" spans="2:7" ht="2.75" customHeight="1" thickBot="1" x14ac:dyDescent="0.5">
      <c r="B13" s="44"/>
      <c r="C13" s="45"/>
      <c r="D13" s="45"/>
      <c r="E13" s="45"/>
      <c r="F13" s="45"/>
      <c r="G13" s="46"/>
    </row>
    <row r="14" spans="2:7" s="3" customFormat="1" ht="14.65" thickBot="1" x14ac:dyDescent="0.5">
      <c r="B14" s="14" t="s">
        <v>9</v>
      </c>
      <c r="C14" s="15" t="s">
        <v>5</v>
      </c>
      <c r="D14" s="15" t="s">
        <v>7</v>
      </c>
      <c r="E14" s="16" t="s">
        <v>19</v>
      </c>
      <c r="F14" s="16" t="s">
        <v>20</v>
      </c>
      <c r="G14" s="17" t="s">
        <v>23</v>
      </c>
    </row>
    <row r="15" spans="2:7" x14ac:dyDescent="0.45">
      <c r="B15" s="7" t="s">
        <v>8</v>
      </c>
      <c r="C15" s="8" t="s">
        <v>3</v>
      </c>
      <c r="D15" s="8" t="s">
        <v>14</v>
      </c>
      <c r="E15" s="9">
        <v>0.5</v>
      </c>
      <c r="F15" s="9">
        <v>3.5</v>
      </c>
      <c r="G15" s="29">
        <f>(E15+F15)/2*F23</f>
        <v>80000</v>
      </c>
    </row>
    <row r="16" spans="2:7" x14ac:dyDescent="0.45">
      <c r="B16" s="10" t="s">
        <v>8</v>
      </c>
      <c r="C16" s="4" t="s">
        <v>4</v>
      </c>
      <c r="D16" s="4" t="s">
        <v>15</v>
      </c>
      <c r="E16" s="5">
        <v>0.2</v>
      </c>
      <c r="F16" s="5">
        <v>0.8</v>
      </c>
      <c r="G16" s="30">
        <f>(E16+F16)/2*F23</f>
        <v>20000</v>
      </c>
    </row>
    <row r="17" spans="2:7" ht="14.65" thickBot="1" x14ac:dyDescent="0.5">
      <c r="B17" s="11" t="s">
        <v>16</v>
      </c>
      <c r="C17" s="12" t="s">
        <v>17</v>
      </c>
      <c r="D17" s="12"/>
      <c r="E17" s="13"/>
      <c r="F17" s="13"/>
      <c r="G17" s="31">
        <f>2*F23</f>
        <v>80000</v>
      </c>
    </row>
    <row r="18" spans="2:7" ht="14.65" customHeight="1" thickBot="1" x14ac:dyDescent="0.5">
      <c r="B18" s="44"/>
      <c r="C18" s="45"/>
      <c r="D18" s="45"/>
      <c r="E18" s="52" t="s">
        <v>12</v>
      </c>
      <c r="F18" s="53"/>
      <c r="G18" s="28">
        <f>SUM(G15:G17)</f>
        <v>180000</v>
      </c>
    </row>
    <row r="19" spans="2:7" ht="2.75" customHeight="1" thickBot="1" x14ac:dyDescent="0.5">
      <c r="B19" s="44"/>
      <c r="C19" s="45"/>
      <c r="D19" s="45"/>
      <c r="E19" s="45"/>
      <c r="F19" s="45"/>
      <c r="G19" s="46"/>
    </row>
    <row r="20" spans="2:7" ht="14.65" customHeight="1" thickBot="1" x14ac:dyDescent="0.5">
      <c r="B20" s="44"/>
      <c r="C20" s="45"/>
      <c r="D20" s="45"/>
      <c r="E20" s="54" t="s">
        <v>13</v>
      </c>
      <c r="F20" s="55"/>
      <c r="G20" s="27">
        <f>G12+G18</f>
        <v>400000</v>
      </c>
    </row>
    <row r="21" spans="2:7" ht="6" customHeight="1" thickBot="1" x14ac:dyDescent="0.5">
      <c r="B21" s="44"/>
      <c r="C21" s="45"/>
      <c r="D21" s="45"/>
      <c r="E21" s="45"/>
      <c r="F21" s="45"/>
      <c r="G21" s="46"/>
    </row>
    <row r="22" spans="2:7" ht="16.149999999999999" customHeight="1" thickBot="1" x14ac:dyDescent="0.5">
      <c r="B22" s="44"/>
      <c r="C22" s="45"/>
      <c r="D22" s="45"/>
      <c r="E22" s="21" t="s">
        <v>27</v>
      </c>
      <c r="F22" s="49" t="s">
        <v>24</v>
      </c>
      <c r="G22" s="22" t="s">
        <v>28</v>
      </c>
    </row>
    <row r="23" spans="2:7" ht="14.65" thickBot="1" x14ac:dyDescent="0.5">
      <c r="B23" s="44"/>
      <c r="C23" s="45"/>
      <c r="D23" s="45"/>
      <c r="E23" s="19">
        <v>15</v>
      </c>
      <c r="F23" s="50">
        <v>40000</v>
      </c>
      <c r="G23" s="26">
        <f>E23*F23</f>
        <v>600000</v>
      </c>
    </row>
    <row r="24" spans="2:7" ht="6" customHeight="1" thickBot="1" x14ac:dyDescent="0.5">
      <c r="B24" s="44"/>
      <c r="C24" s="45"/>
      <c r="D24" s="45"/>
      <c r="E24" s="45"/>
      <c r="F24" s="45"/>
      <c r="G24" s="46"/>
    </row>
    <row r="25" spans="2:7" ht="21.4" thickBot="1" x14ac:dyDescent="0.5">
      <c r="B25" s="47"/>
      <c r="C25" s="48"/>
      <c r="D25" s="48"/>
      <c r="E25" s="48"/>
      <c r="F25" s="20" t="s">
        <v>29</v>
      </c>
      <c r="G25" s="32">
        <f>G23-G20</f>
        <v>200000</v>
      </c>
    </row>
    <row r="26" spans="2:7" x14ac:dyDescent="0.45">
      <c r="G26" s="2"/>
    </row>
  </sheetData>
  <mergeCells count="4">
    <mergeCell ref="B1:G1"/>
    <mergeCell ref="E12:F12"/>
    <mergeCell ref="E18:F18"/>
    <mergeCell ref="E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zoomScale="90" zoomScaleNormal="90" workbookViewId="0">
      <selection activeCell="F23" sqref="F23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48</v>
      </c>
      <c r="C1" s="57"/>
      <c r="D1" s="57"/>
      <c r="E1" s="57"/>
      <c r="F1" s="57"/>
      <c r="G1" s="58"/>
    </row>
    <row r="2" spans="2:7" ht="5.75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6</v>
      </c>
      <c r="F4" s="35">
        <v>72.5</v>
      </c>
      <c r="G4" s="37">
        <f t="shared" ref="G4:G11" si="0">F4*E4*8*20</f>
        <v>69600</v>
      </c>
    </row>
    <row r="5" spans="2:7" x14ac:dyDescent="0.45">
      <c r="B5" s="25" t="s">
        <v>31</v>
      </c>
      <c r="C5" s="6" t="s">
        <v>2</v>
      </c>
      <c r="D5" s="4" t="s">
        <v>18</v>
      </c>
      <c r="E5" s="18">
        <v>6</v>
      </c>
      <c r="F5" s="35">
        <v>175</v>
      </c>
      <c r="G5" s="38">
        <f t="shared" si="0"/>
        <v>168000</v>
      </c>
    </row>
    <row r="6" spans="2:7" x14ac:dyDescent="0.45">
      <c r="B6" s="10" t="s">
        <v>1</v>
      </c>
      <c r="C6" s="4" t="s">
        <v>32</v>
      </c>
      <c r="D6" s="4" t="s">
        <v>38</v>
      </c>
      <c r="E6" s="5">
        <v>12</v>
      </c>
      <c r="F6" s="33">
        <v>40</v>
      </c>
      <c r="G6" s="38">
        <f t="shared" si="0"/>
        <v>76800</v>
      </c>
    </row>
    <row r="7" spans="2:7" x14ac:dyDescent="0.45">
      <c r="B7" s="10" t="s">
        <v>1</v>
      </c>
      <c r="C7" s="4" t="s">
        <v>33</v>
      </c>
      <c r="D7" s="23" t="s">
        <v>0</v>
      </c>
      <c r="E7" s="24">
        <v>12</v>
      </c>
      <c r="F7" s="36">
        <v>40</v>
      </c>
      <c r="G7" s="38">
        <f t="shared" si="0"/>
        <v>76800</v>
      </c>
    </row>
    <row r="8" spans="2:7" x14ac:dyDescent="0.45">
      <c r="B8" s="10" t="s">
        <v>1</v>
      </c>
      <c r="C8" s="23" t="s">
        <v>35</v>
      </c>
      <c r="D8" s="23" t="s">
        <v>39</v>
      </c>
      <c r="E8" s="24">
        <v>12</v>
      </c>
      <c r="F8" s="36">
        <v>30</v>
      </c>
      <c r="G8" s="38">
        <f t="shared" si="0"/>
        <v>57600</v>
      </c>
    </row>
    <row r="9" spans="2:7" ht="14.65" thickBot="1" x14ac:dyDescent="0.5">
      <c r="B9" s="10" t="s">
        <v>1</v>
      </c>
      <c r="C9" s="23" t="s">
        <v>36</v>
      </c>
      <c r="D9" s="23" t="s">
        <v>34</v>
      </c>
      <c r="E9" s="24">
        <v>12</v>
      </c>
      <c r="F9" s="36">
        <v>30</v>
      </c>
      <c r="G9" s="39">
        <f t="shared" si="0"/>
        <v>57600</v>
      </c>
    </row>
    <row r="10" spans="2:7" x14ac:dyDescent="0.45">
      <c r="B10" s="10" t="s">
        <v>1</v>
      </c>
      <c r="C10" s="23" t="s">
        <v>26</v>
      </c>
      <c r="D10" s="23"/>
      <c r="E10" s="24">
        <v>12</v>
      </c>
      <c r="F10" s="36">
        <v>30</v>
      </c>
      <c r="G10" s="42">
        <f t="shared" si="0"/>
        <v>57600</v>
      </c>
    </row>
    <row r="11" spans="2:7" ht="14.65" thickBot="1" x14ac:dyDescent="0.5">
      <c r="B11" s="11" t="s">
        <v>31</v>
      </c>
      <c r="C11" s="12" t="s">
        <v>37</v>
      </c>
      <c r="D11" s="12"/>
      <c r="E11" s="13">
        <v>6</v>
      </c>
      <c r="F11" s="40">
        <v>100</v>
      </c>
      <c r="G11" s="43">
        <f t="shared" si="0"/>
        <v>96000</v>
      </c>
    </row>
    <row r="12" spans="2:7" ht="14.65" customHeight="1" thickBot="1" x14ac:dyDescent="0.5">
      <c r="B12" s="44"/>
      <c r="C12" s="45"/>
      <c r="D12" s="45"/>
      <c r="E12" s="52" t="s">
        <v>11</v>
      </c>
      <c r="F12" s="63"/>
      <c r="G12" s="41">
        <f>SUM(G4:G11)</f>
        <v>660000</v>
      </c>
    </row>
    <row r="13" spans="2:7" ht="2.75" customHeight="1" thickBot="1" x14ac:dyDescent="0.5">
      <c r="B13" s="44"/>
      <c r="C13" s="45"/>
      <c r="D13" s="45"/>
      <c r="E13" s="45"/>
      <c r="F13" s="45"/>
      <c r="G13" s="46"/>
    </row>
    <row r="14" spans="2:7" s="3" customFormat="1" ht="14.65" thickBot="1" x14ac:dyDescent="0.5">
      <c r="B14" s="14" t="s">
        <v>9</v>
      </c>
      <c r="C14" s="15" t="s">
        <v>5</v>
      </c>
      <c r="D14" s="15" t="s">
        <v>7</v>
      </c>
      <c r="E14" s="16" t="s">
        <v>19</v>
      </c>
      <c r="F14" s="16" t="s">
        <v>20</v>
      </c>
      <c r="G14" s="17" t="s">
        <v>23</v>
      </c>
    </row>
    <row r="15" spans="2:7" x14ac:dyDescent="0.45">
      <c r="B15" s="7" t="s">
        <v>8</v>
      </c>
      <c r="C15" s="8" t="s">
        <v>3</v>
      </c>
      <c r="D15" s="8" t="s">
        <v>14</v>
      </c>
      <c r="E15" s="9">
        <v>0.5</v>
      </c>
      <c r="F15" s="9">
        <v>3.5</v>
      </c>
      <c r="G15" s="29">
        <f>(E15+F15)/2*F23</f>
        <v>800000</v>
      </c>
    </row>
    <row r="16" spans="2:7" x14ac:dyDescent="0.45">
      <c r="B16" s="10" t="s">
        <v>8</v>
      </c>
      <c r="C16" s="4" t="s">
        <v>4</v>
      </c>
      <c r="D16" s="4" t="s">
        <v>15</v>
      </c>
      <c r="E16" s="5">
        <v>0.2</v>
      </c>
      <c r="F16" s="5">
        <v>0.8</v>
      </c>
      <c r="G16" s="30">
        <f>(E16+F16)/2*F23</f>
        <v>200000</v>
      </c>
    </row>
    <row r="17" spans="2:7" ht="14.65" thickBot="1" x14ac:dyDescent="0.5">
      <c r="B17" s="11" t="s">
        <v>16</v>
      </c>
      <c r="C17" s="12" t="s">
        <v>17</v>
      </c>
      <c r="D17" s="12"/>
      <c r="E17" s="13"/>
      <c r="F17" s="13"/>
      <c r="G17" s="31">
        <f>2*F23</f>
        <v>800000</v>
      </c>
    </row>
    <row r="18" spans="2:7" ht="14.65" customHeight="1" thickBot="1" x14ac:dyDescent="0.5">
      <c r="B18" s="44"/>
      <c r="C18" s="45"/>
      <c r="D18" s="45"/>
      <c r="E18" s="52" t="s">
        <v>12</v>
      </c>
      <c r="F18" s="53"/>
      <c r="G18" s="28">
        <f>SUM(G15:G17)</f>
        <v>1800000</v>
      </c>
    </row>
    <row r="19" spans="2:7" ht="2.75" customHeight="1" thickBot="1" x14ac:dyDescent="0.5">
      <c r="B19" s="44"/>
      <c r="C19" s="45"/>
      <c r="D19" s="45"/>
      <c r="E19" s="45"/>
      <c r="F19" s="45"/>
      <c r="G19" s="46"/>
    </row>
    <row r="20" spans="2:7" ht="14.65" customHeight="1" thickBot="1" x14ac:dyDescent="0.5">
      <c r="B20" s="44"/>
      <c r="C20" s="45"/>
      <c r="D20" s="45"/>
      <c r="E20" s="54" t="s">
        <v>13</v>
      </c>
      <c r="F20" s="55"/>
      <c r="G20" s="27">
        <f>G12+G18</f>
        <v>2460000</v>
      </c>
    </row>
    <row r="21" spans="2:7" ht="5.75" customHeight="1" thickBot="1" x14ac:dyDescent="0.5">
      <c r="B21" s="44"/>
      <c r="C21" s="45"/>
      <c r="D21" s="45"/>
      <c r="E21" s="45"/>
      <c r="F21" s="45"/>
      <c r="G21" s="46"/>
    </row>
    <row r="22" spans="2:7" ht="16.5" customHeight="1" thickBot="1" x14ac:dyDescent="0.5">
      <c r="B22" s="44"/>
      <c r="C22" s="45"/>
      <c r="D22" s="45"/>
      <c r="E22" s="21" t="s">
        <v>27</v>
      </c>
      <c r="F22" s="49" t="s">
        <v>24</v>
      </c>
      <c r="G22" s="22" t="s">
        <v>28</v>
      </c>
    </row>
    <row r="23" spans="2:7" ht="14.65" thickBot="1" x14ac:dyDescent="0.5">
      <c r="B23" s="44"/>
      <c r="C23" s="45"/>
      <c r="D23" s="45"/>
      <c r="E23" s="19">
        <v>15</v>
      </c>
      <c r="F23" s="50">
        <v>400000</v>
      </c>
      <c r="G23" s="26">
        <f>E23*F23</f>
        <v>6000000</v>
      </c>
    </row>
    <row r="24" spans="2:7" ht="5.75" customHeight="1" thickBot="1" x14ac:dyDescent="0.5">
      <c r="B24" s="44"/>
      <c r="C24" s="45"/>
      <c r="D24" s="45"/>
      <c r="E24" s="45"/>
      <c r="F24" s="45"/>
      <c r="G24" s="46"/>
    </row>
    <row r="25" spans="2:7" ht="21.4" thickBot="1" x14ac:dyDescent="0.5">
      <c r="B25" s="47"/>
      <c r="C25" s="48"/>
      <c r="D25" s="48"/>
      <c r="E25" s="48"/>
      <c r="F25" s="20" t="s">
        <v>29</v>
      </c>
      <c r="G25" s="32">
        <f>G23-G20</f>
        <v>3540000</v>
      </c>
    </row>
    <row r="26" spans="2:7" x14ac:dyDescent="0.45">
      <c r="G26" s="2"/>
    </row>
  </sheetData>
  <mergeCells count="4">
    <mergeCell ref="E20:F20"/>
    <mergeCell ref="E12:F12"/>
    <mergeCell ref="E18:F18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Beta_1K_Users</vt:lpstr>
      <vt:lpstr>FirstRelease_4K_Users</vt:lpstr>
      <vt:lpstr>GrowthPhase_40K_Users</vt:lpstr>
      <vt:lpstr>MaturePlatform_400K_Users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2026-05-24T08:58:48Z</dcterms:created>
  <dcterms:modified xsi:type="dcterms:W3CDTF">2026-05-26T00:45:32Z</dcterms:modified>
</cp:coreProperties>
</file>